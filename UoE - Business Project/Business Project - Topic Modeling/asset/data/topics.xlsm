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9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frankliang/Desktop/"/>
    </mc:Choice>
  </mc:AlternateContent>
  <xr:revisionPtr revIDLastSave="0" documentId="13_ncr:40009_{1FDAEE20-8980-8D41-8788-5E93712DB354}" xr6:coauthVersionLast="47" xr6:coauthVersionMax="47" xr10:uidLastSave="{00000000-0000-0000-0000-000000000000}"/>
  <bookViews>
    <workbookView xWindow="2360" yWindow="880" windowWidth="27640" windowHeight="16940"/>
  </bookViews>
  <sheets>
    <sheet name="topic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" l="1"/>
  <c r="E18" i="1"/>
  <c r="E3" i="1"/>
  <c r="E4" i="1"/>
  <c r="E5" i="1"/>
  <c r="E6" i="1"/>
  <c r="E7" i="1"/>
  <c r="E8" i="1"/>
  <c r="E9" i="1"/>
  <c r="E10" i="1"/>
  <c r="E11" i="1"/>
  <c r="E12" i="1"/>
  <c r="E14" i="1"/>
  <c r="E15" i="1"/>
  <c r="E16" i="1"/>
  <c r="E17" i="1"/>
  <c r="E19" i="1"/>
  <c r="E20" i="1"/>
  <c r="E21" i="1"/>
  <c r="E2" i="1"/>
</calcChain>
</file>

<file path=xl/sharedStrings.xml><?xml version="1.0" encoding="utf-8"?>
<sst xmlns="http://schemas.openxmlformats.org/spreadsheetml/2006/main" count="85" uniqueCount="84">
  <si>
    <t>terms</t>
  </si>
  <si>
    <t>example</t>
  </si>
  <si>
    <t>system, decis, algorithm, trust, use, legal, human, data, need, respons</t>
  </si>
  <si>
    <t>'AI for Sound', 'Machine Listening using Sparse Representations', 'CHIME: Computational Hearing in Multisource Environments'</t>
  </si>
  <si>
    <t>problem, model, data, applic, learn, method, algorithm, use, domain, propos</t>
  </si>
  <si>
    <t>'Formal Representation and Proof for Cooperative Games: A Foundation for Complex Social Behaviour', 'Crowdsourcing and Machine Learning for Disaster Relief and Resilience', 'Natural speech Automated Utility for Mental health'</t>
  </si>
  <si>
    <t>robot, system, autonom, environ, object, human, learn, task, oper, control</t>
  </si>
  <si>
    <t>'UKRI Trustworthy Autonomous Systems Node in Resilience', 'UKRI Trustworthy Autonomous Systems Node in Functionality', 'Thales-Bristol Partnership in Hybrid Autonomous Systems Engineering (T-B PHASE)'</t>
  </si>
  <si>
    <t>inform, user, use, technolog, cancer, can, person, process, requir, record</t>
  </si>
  <si>
    <t>'Machine Learning, Robust Optimisation, and Verification: Creating Synergistic Capabilities in Cybersecurity Research', 'MAPTRAITS: MACHINE ANALYSIS OF PERSONALITY TRAITS IN HUMAN VIRTUAL AGENT INTERACTIONS', 'Leveraging the Multi-Stakeholder Nature of Cyber Security'</t>
  </si>
  <si>
    <t>sound, imag, collect, new, use, audio, archiv, learn, sourc, machin</t>
  </si>
  <si>
    <t>'Coarse Approximator Compilation', 'PAMBAYESIAN: PAtient Managed decision-support using Bayesian networks', 'Gene Expression Programming - a new machine learning technique for supervised and unsupervised classification'</t>
  </si>
  <si>
    <t>industri, digit, technolog, new, work, support, develop, impact, innov, collabor</t>
  </si>
  <si>
    <t>'The Digital Creativity Hub', 'Centre for Digital Citizens - Next Stage Digital Economy Centre', 'Digital Economy Doctoral Training Network'</t>
  </si>
  <si>
    <t>comput, music, creativ, workshop, new, research, game, intellig, network, support</t>
  </si>
  <si>
    <t>'The White Rose Grid e-Science Centre', 'Abstract Forward Models for Modern Games', 'An Industry/Academia Research Network on Artificial Intelligence and Games Technologies'</t>
  </si>
  <si>
    <t>data, model, use, learn, can, transport, digit, machin, new, physic</t>
  </si>
  <si>
    <t>'deeP redUced oRder predIctive Fluid dYnamics model (PURIFY)', 'DADD: Discovering and Attesting Digital Discrimination', 'Digital navigation of chemical space for function'</t>
  </si>
  <si>
    <t>servic, busi, see, market, cost, technolog, map, provid, product, requir</t>
  </si>
  <si>
    <t>'AEOLIAN (Artificial intelligence for cultural organisations)', 'Technology Driven Change and Next Generation Insurance Value Chains (TECHNGI)', 'Business Model Innovation for Intelligent Automation: Unpacking the Productivity Paradox'</t>
  </si>
  <si>
    <t>agent, human, can, plan, system, intellig, use, argument, decis, comput</t>
  </si>
  <si>
    <t>'SHARE-IT: School-Home Research Environment through Intelligent Technologies', 'Multi-Disciplinary Pedestrian-in-the-Loop Simulator', 'Turing AI Fellowship: Advancing Multi-Agent Deep Reinforcement Learning for Sequential Decision Making in Real-World Applications'</t>
  </si>
  <si>
    <t>model, problem, comput, process, use, biolog, can, system, new, design</t>
  </si>
  <si>
    <t>'(Semi)Formal Artificial Life Through P-systems &amp;amp; Learning Classifier Systems: An Investigation into InfoBiotics', 'Radio frequency identification and tracking of individual ants engaged in colony scale division of labour', 'Trajectories of Depression: Investigating the Correlation between Human Mobility Patterns and Mental Health Problems by means of Smartphones'</t>
  </si>
  <si>
    <t>system, interact, user, can, use, natur, dialogu, develop, languag, interfac</t>
  </si>
  <si>
    <t>"Realising Accountable Intelligent Systems", "Trust in Human-Machine Partnership", "2nd International Workshop on Evolving Fuzzy Systems EFS'06, Ambelside, Lake District, 7-9 September 2006"</t>
  </si>
  <si>
    <t>data, use, method, work, approach, new, report, provid, model, techniqu</t>
  </si>
  <si>
    <t>'Interpreting and integrating mismatched data on the fly', 'Multi-disciplinary Optimisation and Data Mining at Birmingham', 'UK Knowledge Discovery in Data Symoposium'</t>
  </si>
  <si>
    <t>patient, diseas, data, use, can, clinic, health, healthcar, care, risk</t>
  </si>
  <si>
    <t>'Pothole Identification and Management Autonomous System', 'Communicating And Visualizing Erosion-associated Risks To Infrastructure (CAVERTI)', 'Real-time Intelligent Map-matching Algorithms for Advanced Transport Telematics Systems (RiMATTS)'</t>
  </si>
  <si>
    <t>model, languag, learn, use, translat, data, machin, human, can, system</t>
  </si>
  <si>
    <t>'Framework for Computational Persuasion', 'Mining the Network Behaviour of Bots', 'ACE-LP: Augmenting Communication using Environmental Data to drive Language Prediction.'</t>
  </si>
  <si>
    <t>use, comput, softwar, techniqu, develop, secur, can, automat, human, theori</t>
  </si>
  <si>
    <t>'Fast Runtime Verification via Machine Learning', 'MACHINE LEARNING COALGEBRAIC AUTOMATED PROOFS', 'ImmunoHopping: Creating New Nature Inspired Cyber Defences'</t>
  </si>
  <si>
    <t>learn, brain, network, comput, neural, use, new, design, process, can</t>
  </si>
  <si>
    <t>'Neuromorphic memristive circuits to simulate inhibitory and excitatory dynamics of neuron networks: from physiological similarities to deep learning', 'An engineering platform for rapid prototyping synthetic genetic networks', 'Microfluidic Molecular Communications: Design, Theory, and Manufacture'</t>
  </si>
  <si>
    <t>data, develop, monitor, use, detect, system, sensor, analysi, inform, cloud</t>
  </si>
  <si>
    <t>'CRITiCaL - Combatting cRiminals In The CLoud', 'End-to-end integrated Statistical processing for Context-aware dialogue systems', 'Open Domain Statistical Spoken Dialogue Systems'</t>
  </si>
  <si>
    <t>new, use, drug, materi, develop, equip, process, cell, manufactur, make</t>
  </si>
  <si>
    <t>'Interdisciplinary Centre for Finding, Understanding and Countering Crime in the Cloud', 'Cardiff University - EPSRC Capital Award for Core Equipment', 'University of Exeter - Core Capital 2019'</t>
  </si>
  <si>
    <t>knowledg, ontolog, reason, use, concept, can, system, model, exampl, web</t>
  </si>
  <si>
    <t>'ConDOR: Consequence-Driven Ontology Reasoning', 'HermiT: Reasoning with Large Ontologies', 'Reasoning Infrastructure for Ontologies and Instances'</t>
  </si>
  <si>
    <t>Examples</t>
  </si>
  <si>
    <t xml:space="preserve">AI in Decision Making </t>
  </si>
  <si>
    <t>topic number</t>
  </si>
  <si>
    <t xml:space="preserve">topic interpretations </t>
  </si>
  <si>
    <t>Natural Language Process</t>
  </si>
  <si>
    <t>Robotics and Automation</t>
  </si>
  <si>
    <t xml:space="preserve">Recognise Audios </t>
  </si>
  <si>
    <t>Industial Collaboration</t>
  </si>
  <si>
    <t>AI for Recreation</t>
  </si>
  <si>
    <t>Urban Twins: Complex Engineer System</t>
  </si>
  <si>
    <t xml:space="preserve">Urban Alaytics </t>
  </si>
  <si>
    <t>AI as Management Agent</t>
  </si>
  <si>
    <t xml:space="preserve">Evolutionary Computation or Meta heuristics </t>
  </si>
  <si>
    <t>Human-Machines Interaction</t>
  </si>
  <si>
    <t>Knowlege Discovery</t>
  </si>
  <si>
    <t>Medical and Health Care</t>
  </si>
  <si>
    <t>Foreign Language Translation</t>
  </si>
  <si>
    <t>Software Development</t>
  </si>
  <si>
    <t>Neuro Networking</t>
  </si>
  <si>
    <t>Urban Alaytics??</t>
  </si>
  <si>
    <t>Ontology Reasoning</t>
  </si>
  <si>
    <t>Computational Science</t>
  </si>
  <si>
    <t>AI for Sound';
 'Machine Listening using Sparse Representations';
 'CHIME: Computational Hearing in Multisource Environments'.</t>
  </si>
  <si>
    <t>Formal Representation and Proof for Cooperative Games: A Foundation for Complex Social Behaviour';
 'Crowdsourcing and Machine Learning for Disaster Relief and Resilience';
 'Natural speech Automated Utility for Mental health'.</t>
  </si>
  <si>
    <t>UKRI Trustworthy Autonomous Systems Node in Resilience';
 'UKRI Trustworthy Autonomous Systems Node in Functionality';
 'Thales-Bristol Partnership in Hybrid Autonomous Systems Engineering (T-B PHASE)'.</t>
  </si>
  <si>
    <t>Machine Learning, Robust Optimisation and Verification: Creating Synergistic Capabilities in Cybersecurity Research';
 'MAPTRAITS: MACHINE ANALYSIS OF PERSONALITY TRAITS IN HUMAN VIRTUAL AGENT INTERACTIONS';
 'Leveraging the Multi-Stakeholder Nature of Cyber Security'.</t>
  </si>
  <si>
    <t>Coarse Approximator Compilation';
 'PAMBAYESIAN: PAtient Managed decision-support using Bayesian networks';
 'Gene Expression Programming - a new machine learning technique for supervised and unsupervised classification'.</t>
  </si>
  <si>
    <t>The Digital Creativity Hub';
 'Centre for Digital Citizens - Next Stage Digital Economy Centre';
 'Digital Economy Doctoral Training Network'.</t>
  </si>
  <si>
    <t>The White Rose Grid e-Science Centre';
 'Abstract Forward Models for Modern Games';
 'An Industry/Academia Research Network on Artificial Intelligence and Games Technologies'.</t>
  </si>
  <si>
    <t>deeP redUced oRder predIctive Fluid dYnamics model (PURIFY)';
 'DADD: Discovering and Attesting Digital Discrimination';
 'Digital navigation of chemical space for function'.</t>
  </si>
  <si>
    <t>AEOLIAN (Artificial intelligence for cultural organisations)';
 'Technology Driven Change and Next Generation Insurance Value Chains (TECHNGI)';
 'Business Model Innovation for Intelligent Automation: Unpacking the Productivity Paradox'.</t>
  </si>
  <si>
    <t>SHARE-IT: School-Home Research Environment through Intelligent Technologies';
 'Multi-Disciplinary Pedestrian-in-the-Loop Simulator';
 'Turing AI Fellowship: Advancing Multi-Agent Deep Reinforcement Learning for Sequential Decision Making in Real-World Applications'.</t>
  </si>
  <si>
    <t>(Semi)Formal Artificial Life Through P-systems &amp;amp; Learning Classifier Systems: An Investigation into InfoBiotics';
 'Radio frequency identification and tracking of individual ants engaged in colony scale division of labour';
 'Trajectories of Depression: Investigating the Correlation between Human Mobility Patterns and Mental Health Problems by means of Smartphones'.</t>
  </si>
  <si>
    <t>"Realising Accountable Intelligent Systems";
"Trust in Human-Machine Partnership";
"2nd International Workshop on Evolving Fuzzy Systems EFS'06 Ambelside, Lake District, 7-9 September 2006".</t>
  </si>
  <si>
    <t>Interpreting and integrating mismatched data on the fly';
 'Multi-disciplinary Optimisation and Data Mining at Birmingham';
 'UK Knowledge Discovery in Data Symoposium'.</t>
  </si>
  <si>
    <t>Pothole Identification and Management Autonomous System';
 'Communicating And Visualizing Erosion-associated Risks To Infrastructure (CAVERTI)';
 'Real-time Intelligent Map-matching Algorithms for Advanced Transport Telematics Systems (RiMATTS)'.</t>
  </si>
  <si>
    <t>Framework for Computational Persuasion';
 'Mining the Network Behaviour of Bots';
 'ACE-LP: Augmenting Communication using Environmental Data to drive Language Prediction.'.</t>
  </si>
  <si>
    <t>Fast Runtime Verification via Machine Learning';
 'MACHINE LEARNING COALGEBRAIC AUTOMATED PROOFS';
 'ImmunoHopping: Creating New Nature Inspired Cyber Defences'.</t>
  </si>
  <si>
    <t>Neuromorphic memristive circuits to simulate inhibitory and excitatory dynamics of neuron networks: from physiological similarities to deep learning';
 'An engineering platform for rapid prototyping synthetic genetic networks';
 'Microfluidic Molecular Communications: Design, Theory, and Manufacture'.</t>
  </si>
  <si>
    <t>CRITiCaL - Combatting cRiminals In The CLoud';
 'End-to-end integrated Statistical processing for Context-aware dialogue systems';
 'Open Domain Statistical Spoken Dialogue Systems'.</t>
  </si>
  <si>
    <t>ConDOR: Consequence-Driven Ontology Reasoning';
 'HermiT: Reasoning with Large Ontologies';
 'Reasoning Infrastructure for Ontologies and Instances'.</t>
  </si>
  <si>
    <t>Interdisciplinary Centre for Finding, Understanding and Countering Crime in the Cloud';
 'Cardiff University - EPSRC Capital Award for Core Equipment';
 'University of Exeter - Core Capital 2019'.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</si>
</sst>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6" fillId="0" borderId="0" xfId="0" applyFont="1" applyAlignment="1">
      <alignment horizontal="left"/>
    </xf>
    <xf numFmtId="0" fontId="16" fillId="0" borderId="0" xfId="0" applyFont="1" applyAlignment="1">
      <alignment horizontal="left" wrapText="1"/>
    </xf>
    <xf numFmtId="0" fontId="16" fillId="0" borderId="0" xfId="0" applyFont="1" applyAlignment="1"/>
    <xf numFmtId="49" fontId="18" fillId="0" borderId="0" xfId="0" applyNumberFormat="1" applyFont="1" applyAlignment="1">
      <alignment horizontal="left" wrapText="1"/>
    </xf>
    <xf numFmtId="49" fontId="19" fillId="0" borderId="0" xfId="0" quotePrefix="1" applyNumberFormat="1" applyFont="1" applyAlignment="1">
      <alignment horizontal="left" vertical="top" wrapText="1"/>
    </xf>
    <xf numFmtId="49" fontId="19" fillId="0" borderId="0" xfId="0" applyNumberFormat="1" applyFont="1" applyAlignment="1">
      <alignment horizontal="left" vertical="top" wrapText="1"/>
    </xf>
    <xf numFmtId="49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1"/>
  <sheetViews>
    <sheetView tabSelected="1" zoomScale="110" workbookViewId="0">
      <selection activeCell="C5" sqref="C5"/>
    </sheetView>
  </sheetViews>
  <sheetFormatPr baseColWidth="10" defaultRowHeight="16" x14ac:dyDescent="0.2"/>
  <cols>
    <col min="1" max="1" width="6" style="2" customWidth="1"/>
    <col min="2" max="2" width="42.6640625" style="1" customWidth="1"/>
    <col min="3" max="3" width="66.6640625" style="2" customWidth="1"/>
    <col min="4" max="4" width="29.6640625" style="2" hidden="1" customWidth="1"/>
    <col min="5" max="5" width="75" style="3" hidden="1" customWidth="1"/>
    <col min="6" max="6" width="81.5" style="10" customWidth="1"/>
  </cols>
  <sheetData>
    <row r="1" spans="1:6" s="6" customFormat="1" ht="17" x14ac:dyDescent="0.2">
      <c r="A1" s="4" t="s">
        <v>44</v>
      </c>
      <c r="B1" s="6" t="s">
        <v>45</v>
      </c>
      <c r="C1" s="4" t="s">
        <v>0</v>
      </c>
      <c r="D1" s="4" t="s">
        <v>1</v>
      </c>
      <c r="E1" s="5" t="s">
        <v>42</v>
      </c>
      <c r="F1" s="7" t="s">
        <v>42</v>
      </c>
    </row>
    <row r="2" spans="1:6" ht="51" x14ac:dyDescent="0.2">
      <c r="A2" s="2">
        <v>1</v>
      </c>
      <c r="B2" s="1" t="s">
        <v>43</v>
      </c>
      <c r="C2" s="2" t="s">
        <v>2</v>
      </c>
      <c r="D2" s="2" t="s">
        <v>3</v>
      </c>
      <c r="E2" s="3" t="str">
        <f xml:space="preserve"> SUBSTITUTE(D2,",",";"&amp;CHAR(10) &amp; CHAR(13))&amp;"."</f>
        <v>'AI for Sound';
_x000D_ 'Machine Listening using Sparse Representations';
_x000D_ 'CHIME: Computational Hearing in Multisource Environments'.</v>
      </c>
      <c r="F2" s="8" t="s">
        <v>64</v>
      </c>
    </row>
    <row r="3" spans="1:6" ht="68" x14ac:dyDescent="0.2">
      <c r="A3" s="2">
        <v>2</v>
      </c>
      <c r="B3" s="1" t="s">
        <v>46</v>
      </c>
      <c r="C3" s="2" t="s">
        <v>4</v>
      </c>
      <c r="D3" s="2" t="s">
        <v>5</v>
      </c>
      <c r="E3" s="3" t="str">
        <f t="shared" ref="E3:F21" si="0" xml:space="preserve"> SUBSTITUTE(D3,",",";"&amp;CHAR(10) &amp; CHAR(13))&amp;"."</f>
        <v>'Formal Representation and Proof for Cooperative Games: A Foundation for Complex Social Behaviour';
_x000D_ 'Crowdsourcing and Machine Learning for Disaster Relief and Resilience';
_x000D_ 'Natural speech Automated Utility for Mental health'.</v>
      </c>
      <c r="F3" s="8" t="s">
        <v>65</v>
      </c>
    </row>
    <row r="4" spans="1:6" ht="51" x14ac:dyDescent="0.2">
      <c r="A4" s="2">
        <v>3</v>
      </c>
      <c r="B4" s="1" t="s">
        <v>47</v>
      </c>
      <c r="C4" s="2" t="s">
        <v>6</v>
      </c>
      <c r="D4" s="2" t="s">
        <v>7</v>
      </c>
      <c r="E4" s="3" t="str">
        <f t="shared" si="0"/>
        <v>'UKRI Trustworthy Autonomous Systems Node in Resilience';
_x000D_ 'UKRI Trustworthy Autonomous Systems Node in Functionality';
_x000D_ 'Thales-Bristol Partnership in Hybrid Autonomous Systems Engineering (T-B PHASE)'.</v>
      </c>
      <c r="F4" s="8" t="s">
        <v>66</v>
      </c>
    </row>
    <row r="5" spans="1:6" ht="102" x14ac:dyDescent="0.2">
      <c r="A5" s="2">
        <v>4</v>
      </c>
      <c r="C5" s="2" t="s">
        <v>8</v>
      </c>
      <c r="D5" s="2" t="s">
        <v>9</v>
      </c>
      <c r="E5" s="3" t="str">
        <f t="shared" si="0"/>
        <v>'Machine Learning;
_x000D_ Robust Optimisation;
_x000D_ and Verification: Creating Synergistic Capabilities in Cybersecurity Research';
_x000D_ 'MAPTRAITS: MACHINE ANALYSIS OF PERSONALITY TRAITS IN HUMAN VIRTUAL AGENT INTERACTIONS';
_x000D_ 'Leveraging the Multi-Stakeholder Nature of Cyber Security'.</v>
      </c>
      <c r="F5" s="8" t="s">
        <v>67</v>
      </c>
    </row>
    <row r="6" spans="1:6" ht="68" x14ac:dyDescent="0.2">
      <c r="A6" s="2">
        <v>5</v>
      </c>
      <c r="B6" s="1" t="s">
        <v>48</v>
      </c>
      <c r="C6" s="2" t="s">
        <v>10</v>
      </c>
      <c r="D6" s="2" t="s">
        <v>11</v>
      </c>
      <c r="E6" s="3" t="str">
        <f t="shared" si="0"/>
        <v>'Coarse Approximator Compilation';
_x000D_ 'PAMBAYESIAN: PAtient Managed decision-support using Bayesian networks';
_x000D_ 'Gene Expression Programming - a new machine learning technique for supervised and unsupervised classification'.</v>
      </c>
      <c r="F6" s="8" t="s">
        <v>68</v>
      </c>
    </row>
    <row r="7" spans="1:6" ht="51" x14ac:dyDescent="0.2">
      <c r="A7" s="2">
        <v>6</v>
      </c>
      <c r="B7" s="1" t="s">
        <v>49</v>
      </c>
      <c r="C7" s="2" t="s">
        <v>12</v>
      </c>
      <c r="D7" s="2" t="s">
        <v>13</v>
      </c>
      <c r="E7" s="3" t="str">
        <f t="shared" si="0"/>
        <v>'The Digital Creativity Hub';
_x000D_ 'Centre for Digital Citizens - Next Stage Digital Economy Centre';
_x000D_ 'Digital Economy Doctoral Training Network'.</v>
      </c>
      <c r="F7" s="8" t="s">
        <v>69</v>
      </c>
    </row>
    <row r="8" spans="1:6" ht="68" x14ac:dyDescent="0.2">
      <c r="A8" s="2">
        <v>7</v>
      </c>
      <c r="B8" s="1" t="s">
        <v>50</v>
      </c>
      <c r="C8" s="2" t="s">
        <v>14</v>
      </c>
      <c r="D8" s="2" t="s">
        <v>15</v>
      </c>
      <c r="E8" s="3" t="str">
        <f t="shared" si="0"/>
        <v>'The White Rose Grid e-Science Centre';
_x000D_ 'Abstract Forward Models for Modern Games';
_x000D_ 'An Industry/Academia Research Network on Artificial Intelligence and Games Technologies'.</v>
      </c>
      <c r="F8" s="8" t="s">
        <v>70</v>
      </c>
    </row>
    <row r="9" spans="1:6" ht="51" x14ac:dyDescent="0.2">
      <c r="A9" s="2">
        <v>8</v>
      </c>
      <c r="B9" s="1" t="s">
        <v>51</v>
      </c>
      <c r="C9" s="2" t="s">
        <v>16</v>
      </c>
      <c r="D9" s="2" t="s">
        <v>17</v>
      </c>
      <c r="E9" s="3" t="str">
        <f t="shared" si="0"/>
        <v>'deeP redUced oRder predIctive Fluid dYnamics model (PURIFY)';
_x000D_ 'DADD: Discovering and Attesting Digital Discrimination';
_x000D_ 'Digital navigation of chemical space for function'.</v>
      </c>
      <c r="F9" s="8" t="s">
        <v>71</v>
      </c>
    </row>
    <row r="10" spans="1:6" ht="68" x14ac:dyDescent="0.2">
      <c r="A10" s="2">
        <v>9</v>
      </c>
      <c r="B10" s="1" t="s">
        <v>52</v>
      </c>
      <c r="C10" s="2" t="s">
        <v>18</v>
      </c>
      <c r="D10" s="2" t="s">
        <v>19</v>
      </c>
      <c r="E10" s="3" t="str">
        <f t="shared" si="0"/>
        <v>'AEOLIAN (Artificial intelligence for cultural organisations)';
_x000D_ 'Technology Driven Change and Next Generation Insurance Value Chains (TECHNGI)';
_x000D_ 'Business Model Innovation for Intelligent Automation: Unpacking the Productivity Paradox'.</v>
      </c>
      <c r="F10" s="8" t="s">
        <v>72</v>
      </c>
    </row>
    <row r="11" spans="1:6" ht="68" x14ac:dyDescent="0.2">
      <c r="A11" s="2">
        <v>10</v>
      </c>
      <c r="B11" s="1" t="s">
        <v>53</v>
      </c>
      <c r="C11" s="2" t="s">
        <v>20</v>
      </c>
      <c r="D11" s="2" t="s">
        <v>21</v>
      </c>
      <c r="E11" s="3" t="str">
        <f t="shared" si="0"/>
        <v>'SHARE-IT: School-Home Research Environment through Intelligent Technologies';
_x000D_ 'Multi-Disciplinary Pedestrian-in-the-Loop Simulator';
_x000D_ 'Turing AI Fellowship: Advancing Multi-Agent Deep Reinforcement Learning for Sequential Decision Making in Real-World Applications'.</v>
      </c>
      <c r="F11" s="8" t="s">
        <v>73</v>
      </c>
    </row>
    <row r="12" spans="1:6" ht="102" x14ac:dyDescent="0.2">
      <c r="A12" s="2">
        <v>11</v>
      </c>
      <c r="B12" s="1" t="s">
        <v>54</v>
      </c>
      <c r="C12" s="2" t="s">
        <v>22</v>
      </c>
      <c r="D12" s="2" t="s">
        <v>23</v>
      </c>
      <c r="E12" s="3" t="str">
        <f t="shared" si="0"/>
        <v>'(Semi)Formal Artificial Life Through P-systems &amp;amp; Learning Classifier Systems: An Investigation into InfoBiotics';
_x000D_ 'Radio frequency identification and tracking of individual ants engaged in colony scale division of labour';
_x000D_ 'Trajectories of Depression: Investigating the Correlation between Human Mobility Patterns and Mental Health Problems by means of Smartphones'.</v>
      </c>
      <c r="F12" s="8" t="s">
        <v>74</v>
      </c>
    </row>
    <row r="13" spans="1:6" ht="102" x14ac:dyDescent="0.2">
      <c r="A13" s="2">
        <v>12</v>
      </c>
      <c r="B13" s="1" t="s">
        <v>55</v>
      </c>
      <c r="C13" s="2" t="s">
        <v>24</v>
      </c>
      <c r="D13" s="2" t="s">
        <v>25</v>
      </c>
      <c r="E13" s="3" t="str">
        <f xml:space="preserve"> SUBSTITUTE(D13,",",";"&amp;CHAR(10) &amp; CHAR(13))&amp;"."</f>
        <v>"Realising Accountable Intelligent Systems";
_x000D_ "Trust in Human-Machine Partnership";
_x000D_ "2nd International Workshop on Evolving Fuzzy Systems EFS'06;
_x000D_ Ambelside;
_x000D_ Lake District;
_x000D_ 7-9 September 2006".</v>
      </c>
      <c r="F13" s="9" t="s">
        <v>75</v>
      </c>
    </row>
    <row r="14" spans="1:6" ht="51" x14ac:dyDescent="0.2">
      <c r="A14" s="2">
        <v>13</v>
      </c>
      <c r="B14" s="1" t="s">
        <v>56</v>
      </c>
      <c r="C14" s="2" t="s">
        <v>26</v>
      </c>
      <c r="D14" s="2" t="s">
        <v>27</v>
      </c>
      <c r="E14" s="3" t="str">
        <f t="shared" si="0"/>
        <v>'Interpreting and integrating mismatched data on the fly';
_x000D_ 'Multi-disciplinary Optimisation and Data Mining at Birmingham';
_x000D_ 'UK Knowledge Discovery in Data Symoposium'.</v>
      </c>
      <c r="F14" s="8" t="s">
        <v>76</v>
      </c>
    </row>
    <row r="15" spans="1:6" ht="68" x14ac:dyDescent="0.2">
      <c r="A15" s="2">
        <v>14</v>
      </c>
      <c r="B15" s="1" t="s">
        <v>57</v>
      </c>
      <c r="C15" s="2" t="s">
        <v>28</v>
      </c>
      <c r="D15" s="2" t="s">
        <v>29</v>
      </c>
      <c r="E15" s="3" t="str">
        <f t="shared" si="0"/>
        <v>'Pothole Identification and Management Autonomous System';
_x000D_ 'Communicating And Visualizing Erosion-associated Risks To Infrastructure (CAVERTI)';
_x000D_ 'Real-time Intelligent Map-matching Algorithms for Advanced Transport Telematics Systems (RiMATTS)'.</v>
      </c>
      <c r="F15" s="8" t="s">
        <v>77</v>
      </c>
    </row>
    <row r="16" spans="1:6" ht="68" x14ac:dyDescent="0.2">
      <c r="A16" s="2">
        <v>15</v>
      </c>
      <c r="B16" s="1" t="s">
        <v>58</v>
      </c>
      <c r="C16" s="2" t="s">
        <v>30</v>
      </c>
      <c r="D16" s="2" t="s">
        <v>31</v>
      </c>
      <c r="E16" s="3" t="str">
        <f t="shared" si="0"/>
        <v>'Framework for Computational Persuasion';
_x000D_ 'Mining the Network Behaviour of Bots';
_x000D_ 'ACE-LP: Augmenting Communication using Environmental Data to drive Language Prediction.'.</v>
      </c>
      <c r="F16" s="8" t="s">
        <v>78</v>
      </c>
    </row>
    <row r="17" spans="1:6" ht="51" x14ac:dyDescent="0.2">
      <c r="A17" s="2">
        <v>16</v>
      </c>
      <c r="B17" s="1" t="s">
        <v>59</v>
      </c>
      <c r="C17" s="2" t="s">
        <v>32</v>
      </c>
      <c r="D17" s="2" t="s">
        <v>33</v>
      </c>
      <c r="E17" s="3" t="str">
        <f t="shared" si="0"/>
        <v>'Fast Runtime Verification via Machine Learning';
_x000D_ 'MACHINE LEARNING COALGEBRAIC AUTOMATED PROOFS';
_x000D_ 'ImmunoHopping: Creating New Nature Inspired Cyber Defences'.</v>
      </c>
      <c r="F17" s="8" t="s">
        <v>79</v>
      </c>
    </row>
    <row r="18" spans="1:6" ht="72" customHeight="1" x14ac:dyDescent="0.2">
      <c r="A18" s="2">
        <v>17</v>
      </c>
      <c r="B18" s="1" t="s">
        <v>60</v>
      </c>
      <c r="C18" s="2" t="s">
        <v>34</v>
      </c>
      <c r="D18" s="2" t="s">
        <v>35</v>
      </c>
      <c r="E18" s="3" t="str">
        <f t="shared" si="0"/>
        <v>'Neuromorphic memristive circuits to simulate inhibitory and excitatory dynamics of neuron networks: from physiological similarities to deep learning';
_x000D_ 'An engineering platform for rapid prototyping synthetic genetic networks';
_x000D_ 'Microfluidic Molecular Communications: Design;
_x000D_ Theory;
_x000D_ and Manufacture'.</v>
      </c>
      <c r="F18" s="8" t="s">
        <v>80</v>
      </c>
    </row>
    <row r="19" spans="1:6" ht="51" x14ac:dyDescent="0.2">
      <c r="A19" s="2">
        <v>18</v>
      </c>
      <c r="B19" s="1" t="s">
        <v>61</v>
      </c>
      <c r="C19" s="2" t="s">
        <v>36</v>
      </c>
      <c r="D19" s="2" t="s">
        <v>37</v>
      </c>
      <c r="E19" s="3" t="str">
        <f t="shared" si="0"/>
        <v>'CRITiCaL - Combatting cRiminals In The CLoud';
_x000D_ 'End-to-end integrated Statistical processing for Context-aware dialogue systems';
_x000D_ 'Open Domain Statistical Spoken Dialogue Systems'.</v>
      </c>
      <c r="F19" s="8" t="s">
        <v>81</v>
      </c>
    </row>
    <row r="20" spans="1:6" ht="68" x14ac:dyDescent="0.2">
      <c r="A20" s="2">
        <v>19</v>
      </c>
      <c r="B20" s="1" t="s">
        <v>63</v>
      </c>
      <c r="C20" s="2" t="s">
        <v>38</v>
      </c>
      <c r="D20" s="2" t="s">
        <v>39</v>
      </c>
      <c r="E20" s="3" t="str">
        <f t="shared" si="0"/>
        <v>'Interdisciplinary Centre for Finding;
_x000D_ Understanding and Countering Crime in the Cloud';
_x000D_ 'Cardiff University - EPSRC Capital Award for Core Equipment';
_x000D_ 'University of Exeter - Core Capital 2019'.</v>
      </c>
      <c r="F20" s="8" t="s">
        <v>83</v>
      </c>
    </row>
    <row r="21" spans="1:6" ht="51" x14ac:dyDescent="0.2">
      <c r="A21" s="2">
        <v>20</v>
      </c>
      <c r="B21" s="1" t="s">
        <v>62</v>
      </c>
      <c r="C21" s="2" t="s">
        <v>40</v>
      </c>
      <c r="D21" s="2" t="s">
        <v>41</v>
      </c>
      <c r="E21" s="3" t="str">
        <f t="shared" si="0"/>
        <v>'ConDOR: Consequence-Driven Ontology Reasoning';
_x000D_ 'HermiT: Reasoning with Large Ontologies';
_x000D_ 'Reasoning Infrastructure for Ontologies and Instances'.</v>
      </c>
      <c r="F21" s="8" t="s">
        <v>82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topics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2021-10-12T10:25:03Z</dcterms:created>
  <dcterms:modified xsi:type="dcterms:W3CDTF">2021-10-12T11:13:07Z</dcterms:modified>
</cp:coreProperties>
</file>